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pu_over"/>
    <sheet r:id="rId2" sheetId="2" name="net_over"/>
    <sheet r:id="rId3" sheetId="3" name="no_over"/>
  </sheets>
  <calcPr fullCalcOnLoad="1"/>
</workbook>
</file>

<file path=xl/sharedStrings.xml><?xml version="1.0" encoding="utf-8"?>
<sst xmlns="http://schemas.openxmlformats.org/spreadsheetml/2006/main" count="186" uniqueCount="43">
  <si>
    <t>[Policy]</t>
  </si>
  <si>
    <t xml:space="preserve">Expected Time </t>
  </si>
  <si>
    <t>Error Tolerant</t>
  </si>
  <si>
    <t>Threshold</t>
  </si>
  <si>
    <t>Name</t>
  </si>
  <si>
    <t>Source</t>
  </si>
  <si>
    <t>Destination</t>
  </si>
  <si>
    <t>Flow</t>
  </si>
  <si>
    <t>sf chain</t>
  </si>
  <si>
    <t>Packet Size</t>
  </si>
  <si>
    <t>BW</t>
  </si>
  <si>
    <t>Hops</t>
  </si>
  <si>
    <t>Req / sec</t>
  </si>
  <si>
    <t>Req Interval</t>
  </si>
  <si>
    <t>Network</t>
  </si>
  <si>
    <t>CPU</t>
  </si>
  <si>
    <t>Total</t>
  </si>
  <si>
    <t>p1</t>
  </si>
  <si>
    <t>vm01</t>
  </si>
  <si>
    <t>vm02</t>
  </si>
  <si>
    <t>default</t>
  </si>
  <si>
    <t>vnf1</t>
  </si>
  <si>
    <t>p2</t>
  </si>
  <si>
    <t>vm03</t>
  </si>
  <si>
    <t>vnf2</t>
  </si>
  <si>
    <t>[VMs]</t>
  </si>
  <si>
    <t>MIPS</t>
  </si>
  <si>
    <t>Workload MI</t>
  </si>
  <si>
    <t>Time</t>
  </si>
  <si>
    <t>[VM Link]</t>
  </si>
  <si>
    <t>l12</t>
  </si>
  <si>
    <t>[SFs]</t>
  </si>
  <si>
    <t>MI / Oper</t>
  </si>
  <si>
    <t>Time / Oper (sec)</t>
  </si>
  <si>
    <t>vnf3</t>
  </si>
  <si>
    <t>vnf4</t>
  </si>
  <si>
    <t>[Physical]</t>
  </si>
  <si>
    <t>Host MIPS</t>
  </si>
  <si>
    <t>Host Pes</t>
  </si>
  <si>
    <t>Host Number</t>
  </si>
  <si>
    <t>Network BW</t>
  </si>
  <si>
    <t>Topology</t>
  </si>
  <si>
    <t>2-tier Tree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</si>
</sst>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3" applyFill="1" applyAlignment="1">
      <alignment horizontal="left"/>
    </xf>
    <xf xfId="0" numFmtId="164" applyNumberFormat="1" borderId="2" applyBorder="1" fontId="1" applyFont="1" fillId="0" applyAlignment="1">
      <alignment horizontal="right"/>
    </xf>
    <xf xfId="0" numFmtId="3" applyNumberFormat="1" borderId="3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4" applyNumberFormat="1" borderId="1" applyBorder="1" fontId="1" applyFont="1" fillId="2" applyFill="1" applyAlignment="1">
      <alignment horizontal="right"/>
    </xf>
    <xf xfId="0" numFmtId="4" applyNumberFormat="1" borderId="1" applyBorder="1" fontId="1" applyFont="1" fillId="3" applyFill="1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1" applyBorder="1" fontId="1" applyFont="1" fillId="2" applyFill="1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8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2.862142857142858" customWidth="1" bestFit="1"/>
    <col min="4" max="4" style="15" width="12.862142857142858" customWidth="1" bestFit="1"/>
    <col min="5" max="5" style="15" width="16.433571428571426" customWidth="1" bestFit="1"/>
    <col min="6" max="6" style="16" width="13.576428571428572" customWidth="1" bestFit="1"/>
    <col min="7" max="7" style="14" width="13.576428571428572" customWidth="1" bestFit="1"/>
    <col min="8" max="8" style="16" width="10.862142857142858" customWidth="1" bestFit="1"/>
    <col min="9" max="9" style="16" width="13.576428571428572" customWidth="1" bestFit="1"/>
    <col min="10" max="10" style="16" width="13.576428571428572" customWidth="1" bestFit="1"/>
    <col min="11" max="11" style="16" width="13.576428571428572" customWidth="1" bestFit="1"/>
    <col min="12" max="12" style="17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7" width="13.290714285714287" customWidth="1" bestFit="1"/>
    <col min="17" max="17" style="17" width="13.576428571428572" customWidth="1" bestFit="1"/>
  </cols>
  <sheetData>
    <row x14ac:dyDescent="0.25" r="1" customHeight="1" ht="18.75">
      <c r="A1" s="1"/>
      <c r="B1" s="2" t="s">
        <v>0</v>
      </c>
      <c r="C1" s="2"/>
      <c r="D1" s="2"/>
      <c r="E1" s="2"/>
      <c r="F1" s="3"/>
      <c r="G1" s="1"/>
      <c r="H1" s="3"/>
      <c r="I1" s="3"/>
      <c r="J1" s="3"/>
      <c r="K1" s="3"/>
      <c r="L1" s="4"/>
      <c r="M1" s="4" t="s">
        <v>1</v>
      </c>
      <c r="N1" s="4"/>
      <c r="O1" s="4"/>
      <c r="P1" s="4" t="s">
        <v>2</v>
      </c>
      <c r="Q1" s="4" t="s">
        <v>3</v>
      </c>
    </row>
    <row x14ac:dyDescent="0.25" r="2" customHeight="1" ht="18.75">
      <c r="A2" s="1"/>
      <c r="B2" s="2" t="s">
        <v>4</v>
      </c>
      <c r="C2" s="2" t="s">
        <v>5</v>
      </c>
      <c r="D2" s="2" t="s">
        <v>6</v>
      </c>
      <c r="E2" s="2" t="s">
        <v>7</v>
      </c>
      <c r="F2" s="3" t="s">
        <v>8</v>
      </c>
      <c r="G2" s="1"/>
      <c r="H2" s="3" t="s">
        <v>9</v>
      </c>
      <c r="I2" s="3" t="s">
        <v>10</v>
      </c>
      <c r="J2" s="3" t="s">
        <v>11</v>
      </c>
      <c r="K2" s="5" t="s">
        <v>12</v>
      </c>
      <c r="L2" s="6" t="s">
        <v>13</v>
      </c>
      <c r="M2" s="4" t="s">
        <v>14</v>
      </c>
      <c r="N2" s="4" t="s">
        <v>15</v>
      </c>
      <c r="O2" s="6" t="s">
        <v>16</v>
      </c>
      <c r="P2" s="7">
        <v>0.01</v>
      </c>
      <c r="Q2" s="7">
        <v>0.2</v>
      </c>
    </row>
    <row x14ac:dyDescent="0.25" r="3" customHeight="1" ht="18.75">
      <c r="A3" s="1"/>
      <c r="B3" s="2" t="s">
        <v>17</v>
      </c>
      <c r="C3" s="2" t="s">
        <v>18</v>
      </c>
      <c r="D3" s="2" t="s">
        <v>19</v>
      </c>
      <c r="E3" s="2" t="s">
        <v>20</v>
      </c>
      <c r="F3" s="3" t="s">
        <v>21</v>
      </c>
      <c r="G3" s="1"/>
      <c r="H3" s="8">
        <v>10000</v>
      </c>
      <c r="I3" s="9">
        <v>50000</v>
      </c>
      <c r="J3" s="9">
        <v>2</v>
      </c>
      <c r="K3" s="13">
        <f>I3/H3</f>
      </c>
      <c r="L3" s="11">
        <f>1/K3</f>
      </c>
      <c r="M3" s="12">
        <f>H3/I3*J3</f>
      </c>
      <c r="N3" s="12">
        <f>E20+E9+E10</f>
      </c>
      <c r="O3" s="11">
        <f>M3+N3</f>
      </c>
      <c r="P3" s="12">
        <f>O3*(1+P2)</f>
      </c>
      <c r="Q3" s="12">
        <f>O3*(1+Q2)</f>
      </c>
    </row>
    <row x14ac:dyDescent="0.25" r="4" customHeight="1" ht="19.5">
      <c r="A4" s="1"/>
      <c r="B4" s="2" t="s">
        <v>22</v>
      </c>
      <c r="C4" s="2" t="s">
        <v>19</v>
      </c>
      <c r="D4" s="2" t="s">
        <v>23</v>
      </c>
      <c r="E4" s="2" t="s">
        <v>20</v>
      </c>
      <c r="F4" s="3" t="s">
        <v>21</v>
      </c>
      <c r="G4" s="1" t="s">
        <v>24</v>
      </c>
      <c r="H4" s="8">
        <v>50000</v>
      </c>
      <c r="I4" s="9">
        <f>$E$28</f>
      </c>
      <c r="J4" s="9">
        <v>3</v>
      </c>
      <c r="K4" s="13">
        <f>I4/H4</f>
      </c>
      <c r="L4" s="11">
        <f>1/K4</f>
      </c>
      <c r="M4" s="12">
        <f>H4/I4*J4</f>
      </c>
      <c r="N4" s="12">
        <f>E10+E11+E20+E21</f>
      </c>
      <c r="O4" s="11">
        <f>M4+N4</f>
      </c>
      <c r="P4" s="12">
        <f>O4*(1+P3)</f>
      </c>
      <c r="Q4" s="12">
        <f>O4*(1+Q3)</f>
      </c>
    </row>
    <row x14ac:dyDescent="0.25" r="5" customHeight="1" ht="18.75">
      <c r="A5" s="1"/>
      <c r="B5" s="2"/>
      <c r="C5" s="2"/>
      <c r="D5" s="2"/>
      <c r="E5" s="2"/>
      <c r="F5" s="3"/>
      <c r="G5" s="1"/>
      <c r="H5" s="3"/>
      <c r="I5" s="3"/>
      <c r="J5" s="3"/>
      <c r="K5" s="3"/>
      <c r="L5" s="4"/>
      <c r="M5" s="4"/>
      <c r="N5" s="4"/>
      <c r="O5" s="4"/>
      <c r="P5" s="4"/>
      <c r="Q5" s="4"/>
    </row>
    <row x14ac:dyDescent="0.25" r="6" customHeight="1" ht="18.75">
      <c r="A6" s="1"/>
      <c r="B6" s="2"/>
      <c r="C6" s="2"/>
      <c r="D6" s="2"/>
      <c r="E6" s="2"/>
      <c r="F6" s="3"/>
      <c r="G6" s="1"/>
      <c r="H6" s="3"/>
      <c r="I6" s="3"/>
      <c r="J6" s="3"/>
      <c r="K6" s="3"/>
      <c r="L6" s="4"/>
      <c r="M6" s="4"/>
      <c r="N6" s="4"/>
      <c r="O6" s="4"/>
      <c r="P6" s="4"/>
      <c r="Q6" s="4"/>
    </row>
    <row x14ac:dyDescent="0.25" r="7" customHeight="1" ht="18.75">
      <c r="A7" s="1"/>
      <c r="B7" s="2" t="s">
        <v>25</v>
      </c>
      <c r="C7" s="2"/>
      <c r="D7" s="2"/>
      <c r="E7" s="2"/>
      <c r="F7" s="3"/>
      <c r="G7" s="1"/>
      <c r="H7" s="3"/>
      <c r="I7" s="3"/>
      <c r="J7" s="3"/>
      <c r="K7" s="3"/>
      <c r="L7" s="4"/>
      <c r="M7" s="4"/>
      <c r="N7" s="4"/>
      <c r="O7" s="4"/>
      <c r="P7" s="4"/>
      <c r="Q7" s="4"/>
    </row>
    <row x14ac:dyDescent="0.25" r="8" customHeight="1" ht="18.75">
      <c r="A8" s="1"/>
      <c r="B8" s="2" t="s">
        <v>4</v>
      </c>
      <c r="C8" s="2" t="s">
        <v>26</v>
      </c>
      <c r="D8" s="2" t="s">
        <v>27</v>
      </c>
      <c r="E8" s="2" t="s">
        <v>28</v>
      </c>
      <c r="F8" s="5" t="s">
        <v>12</v>
      </c>
      <c r="G8" s="1"/>
      <c r="H8" s="3"/>
      <c r="I8" s="3"/>
      <c r="J8" s="3"/>
      <c r="K8" s="3"/>
      <c r="L8" s="4"/>
      <c r="M8" s="4"/>
      <c r="N8" s="4"/>
      <c r="O8" s="4"/>
      <c r="P8" s="4"/>
      <c r="Q8" s="4"/>
    </row>
    <row x14ac:dyDescent="0.25" r="9" customHeight="1" ht="18.75">
      <c r="A9" s="1"/>
      <c r="B9" s="2" t="s">
        <v>18</v>
      </c>
      <c r="C9" s="9">
        <v>500</v>
      </c>
      <c r="D9" s="8">
        <v>5</v>
      </c>
      <c r="E9" s="12">
        <f>D9/C9</f>
      </c>
      <c r="F9" s="13">
        <f>C9/D9</f>
      </c>
      <c r="G9" s="1"/>
      <c r="H9" s="3"/>
      <c r="I9" s="3"/>
      <c r="J9" s="3"/>
      <c r="K9" s="3"/>
      <c r="L9" s="4"/>
      <c r="M9" s="4"/>
      <c r="N9" s="4"/>
      <c r="O9" s="4"/>
      <c r="P9" s="4"/>
      <c r="Q9" s="4"/>
    </row>
    <row x14ac:dyDescent="0.25" r="10" customHeight="1" ht="18.75">
      <c r="A10" s="1"/>
      <c r="B10" s="2" t="s">
        <v>19</v>
      </c>
      <c r="C10" s="9">
        <v>500</v>
      </c>
      <c r="D10" s="8">
        <v>5</v>
      </c>
      <c r="E10" s="12">
        <f>D10/C10</f>
      </c>
      <c r="F10" s="13">
        <f>C10/D10</f>
      </c>
      <c r="G10" s="1"/>
      <c r="H10" s="3"/>
      <c r="I10" s="3"/>
      <c r="J10" s="3"/>
      <c r="K10" s="3"/>
      <c r="L10" s="4"/>
      <c r="M10" s="4"/>
      <c r="N10" s="4"/>
      <c r="O10" s="4"/>
      <c r="P10" s="4"/>
      <c r="Q10" s="4"/>
    </row>
    <row x14ac:dyDescent="0.25" r="11" customHeight="1" ht="19.5">
      <c r="A11" s="1"/>
      <c r="B11" s="2" t="s">
        <v>23</v>
      </c>
      <c r="C11" s="9">
        <v>500</v>
      </c>
      <c r="D11" s="8">
        <v>0</v>
      </c>
      <c r="E11" s="9">
        <f>D11/C11</f>
      </c>
      <c r="F11" s="5">
        <f>C11/D11</f>
      </c>
      <c r="G11" s="1"/>
      <c r="H11" s="3"/>
      <c r="I11" s="3"/>
      <c r="J11" s="3"/>
      <c r="K11" s="3"/>
      <c r="L11" s="4"/>
      <c r="M11" s="4"/>
      <c r="N11" s="4"/>
      <c r="O11" s="4"/>
      <c r="P11" s="4"/>
      <c r="Q11" s="4"/>
    </row>
    <row x14ac:dyDescent="0.25" r="12" customHeight="1" ht="18.75">
      <c r="A12" s="1"/>
      <c r="B12" s="2"/>
      <c r="C12" s="2"/>
      <c r="D12" s="2"/>
      <c r="E12" s="2"/>
      <c r="F12" s="3"/>
      <c r="G12" s="1"/>
      <c r="H12" s="3"/>
      <c r="I12" s="3"/>
      <c r="J12" s="3"/>
      <c r="K12" s="3"/>
      <c r="L12" s="4"/>
      <c r="M12" s="4"/>
      <c r="N12" s="4"/>
      <c r="O12" s="4"/>
      <c r="P12" s="4"/>
      <c r="Q12" s="4"/>
    </row>
    <row x14ac:dyDescent="0.25" r="13" customHeight="1" ht="18.75">
      <c r="A13" s="1"/>
      <c r="B13" s="2" t="s">
        <v>29</v>
      </c>
      <c r="C13" s="2"/>
      <c r="D13" s="2"/>
      <c r="E13" s="2"/>
      <c r="F13" s="3"/>
      <c r="G13" s="1"/>
      <c r="H13" s="3"/>
      <c r="I13" s="3"/>
      <c r="J13" s="3"/>
      <c r="K13" s="3"/>
      <c r="L13" s="4"/>
      <c r="M13" s="4"/>
      <c r="N13" s="4"/>
      <c r="O13" s="4"/>
      <c r="P13" s="4"/>
      <c r="Q13" s="4"/>
    </row>
    <row x14ac:dyDescent="0.25" r="14" customHeight="1" ht="18.75">
      <c r="A14" s="1"/>
      <c r="B14" s="2" t="s">
        <v>4</v>
      </c>
      <c r="C14" s="2" t="s">
        <v>5</v>
      </c>
      <c r="D14" s="2" t="s">
        <v>6</v>
      </c>
      <c r="E14" s="2" t="s">
        <v>10</v>
      </c>
      <c r="F14" s="3"/>
      <c r="G14" s="1"/>
      <c r="H14" s="3"/>
      <c r="I14" s="3"/>
      <c r="J14" s="3"/>
      <c r="K14" s="3"/>
      <c r="L14" s="4"/>
      <c r="M14" s="4"/>
      <c r="N14" s="4"/>
      <c r="O14" s="4"/>
      <c r="P14" s="4"/>
      <c r="Q14" s="4"/>
    </row>
    <row x14ac:dyDescent="0.25" r="15" customHeight="1" ht="18.75">
      <c r="A15" s="1"/>
      <c r="B15" s="2" t="s">
        <v>30</v>
      </c>
      <c r="C15" s="2" t="s">
        <v>18</v>
      </c>
      <c r="D15" s="2" t="s">
        <v>19</v>
      </c>
      <c r="E15" s="9">
        <v>25000</v>
      </c>
      <c r="F15" s="3"/>
      <c r="G15" s="1"/>
      <c r="H15" s="3"/>
      <c r="I15" s="3"/>
      <c r="J15" s="3"/>
      <c r="K15" s="3"/>
      <c r="L15" s="4"/>
      <c r="M15" s="4"/>
      <c r="N15" s="4"/>
      <c r="O15" s="4"/>
      <c r="P15" s="4"/>
      <c r="Q15" s="4"/>
    </row>
    <row x14ac:dyDescent="0.25" r="16" customHeight="1" ht="18.75">
      <c r="A16" s="1"/>
      <c r="B16" s="2"/>
      <c r="C16" s="2"/>
      <c r="D16" s="2"/>
      <c r="E16" s="2"/>
      <c r="F16" s="3"/>
      <c r="G16" s="1"/>
      <c r="H16" s="3"/>
      <c r="I16" s="3"/>
      <c r="J16" s="3"/>
      <c r="K16" s="3"/>
      <c r="L16" s="4"/>
      <c r="M16" s="4"/>
      <c r="N16" s="4"/>
      <c r="O16" s="4"/>
      <c r="P16" s="4"/>
      <c r="Q16" s="4"/>
    </row>
    <row x14ac:dyDescent="0.25" r="17" customHeight="1" ht="18.75">
      <c r="A17" s="1"/>
      <c r="B17" s="2"/>
      <c r="C17" s="2"/>
      <c r="D17" s="2"/>
      <c r="E17" s="2"/>
      <c r="F17" s="3"/>
      <c r="G17" s="1"/>
      <c r="H17" s="3"/>
      <c r="I17" s="3"/>
      <c r="J17" s="3"/>
      <c r="K17" s="3"/>
      <c r="L17" s="4"/>
      <c r="M17" s="4"/>
      <c r="N17" s="4"/>
      <c r="O17" s="4"/>
      <c r="P17" s="4"/>
      <c r="Q17" s="4"/>
    </row>
    <row x14ac:dyDescent="0.25" r="18" customHeight="1" ht="18.75">
      <c r="A18" s="1"/>
      <c r="B18" s="2" t="s">
        <v>31</v>
      </c>
      <c r="C18" s="2"/>
      <c r="D18" s="2"/>
      <c r="E18" s="2"/>
      <c r="F18" s="3"/>
      <c r="G18" s="1"/>
      <c r="H18" s="3"/>
      <c r="I18" s="3"/>
      <c r="J18" s="3"/>
      <c r="K18" s="3"/>
      <c r="L18" s="4"/>
      <c r="M18" s="4"/>
      <c r="N18" s="4"/>
      <c r="O18" s="4"/>
      <c r="P18" s="4"/>
      <c r="Q18" s="4"/>
    </row>
    <row x14ac:dyDescent="0.25" r="19" customHeight="1" ht="18.75">
      <c r="A19" s="1"/>
      <c r="B19" s="2" t="s">
        <v>4</v>
      </c>
      <c r="C19" s="2" t="s">
        <v>26</v>
      </c>
      <c r="D19" s="2" t="s">
        <v>32</v>
      </c>
      <c r="E19" s="2" t="s">
        <v>33</v>
      </c>
      <c r="F19" s="5" t="s">
        <v>12</v>
      </c>
      <c r="G19" s="1"/>
      <c r="H19" s="3"/>
      <c r="I19" s="3"/>
      <c r="J19" s="3"/>
      <c r="K19" s="3"/>
      <c r="L19" s="4"/>
      <c r="M19" s="4"/>
      <c r="N19" s="4"/>
      <c r="O19" s="4"/>
      <c r="P19" s="4"/>
      <c r="Q19" s="4"/>
    </row>
    <row x14ac:dyDescent="0.25" r="20" customHeight="1" ht="18.75">
      <c r="A20" s="1"/>
      <c r="B20" s="2" t="s">
        <v>21</v>
      </c>
      <c r="C20" s="9">
        <v>1000</v>
      </c>
      <c r="D20" s="8">
        <v>250</v>
      </c>
      <c r="E20" s="12">
        <f>D20/C20</f>
      </c>
      <c r="F20" s="13">
        <f>C20/D20</f>
      </c>
      <c r="G20" s="1"/>
      <c r="H20" s="3"/>
      <c r="I20" s="3"/>
      <c r="J20" s="3"/>
      <c r="K20" s="3"/>
      <c r="L20" s="4"/>
      <c r="M20" s="4"/>
      <c r="N20" s="4"/>
      <c r="O20" s="4"/>
      <c r="P20" s="4"/>
      <c r="Q20" s="4"/>
    </row>
    <row x14ac:dyDescent="0.25" r="21" customHeight="1" ht="18.75">
      <c r="A21" s="1"/>
      <c r="B21" s="2" t="s">
        <v>24</v>
      </c>
      <c r="C21" s="9">
        <v>1000</v>
      </c>
      <c r="D21" s="8">
        <v>25</v>
      </c>
      <c r="E21" s="12">
        <f>D21/C21</f>
      </c>
      <c r="F21" s="13">
        <f>C21/D21</f>
      </c>
      <c r="G21" s="1"/>
      <c r="H21" s="3"/>
      <c r="I21" s="3"/>
      <c r="J21" s="3"/>
      <c r="K21" s="3"/>
      <c r="L21" s="4"/>
      <c r="M21" s="4"/>
      <c r="N21" s="4"/>
      <c r="O21" s="4"/>
      <c r="P21" s="4"/>
      <c r="Q21" s="4"/>
    </row>
    <row x14ac:dyDescent="0.25" r="22" customHeight="1" ht="18.75">
      <c r="A22" s="1"/>
      <c r="B22" s="2" t="s">
        <v>34</v>
      </c>
      <c r="C22" s="9">
        <v>1000</v>
      </c>
      <c r="D22" s="8">
        <v>100</v>
      </c>
      <c r="E22" s="12">
        <f>D22/C22</f>
      </c>
      <c r="F22" s="13">
        <f>C22/D22</f>
      </c>
      <c r="G22" s="1"/>
      <c r="H22" s="3"/>
      <c r="I22" s="3"/>
      <c r="J22" s="3"/>
      <c r="K22" s="3"/>
      <c r="L22" s="4"/>
      <c r="M22" s="4"/>
      <c r="N22" s="4"/>
      <c r="O22" s="4"/>
      <c r="P22" s="4"/>
      <c r="Q22" s="4"/>
    </row>
    <row x14ac:dyDescent="0.25" r="23" customHeight="1" ht="18.75">
      <c r="A23" s="1"/>
      <c r="B23" s="2" t="s">
        <v>35</v>
      </c>
      <c r="C23" s="9">
        <v>1000</v>
      </c>
      <c r="D23" s="8">
        <v>100</v>
      </c>
      <c r="E23" s="12">
        <f>D23/C23</f>
      </c>
      <c r="F23" s="13">
        <f>C23/D23</f>
      </c>
      <c r="G23" s="1"/>
      <c r="H23" s="3"/>
      <c r="I23" s="3"/>
      <c r="J23" s="3"/>
      <c r="K23" s="3"/>
      <c r="L23" s="4"/>
      <c r="M23" s="4"/>
      <c r="N23" s="4"/>
      <c r="O23" s="4"/>
      <c r="P23" s="4"/>
      <c r="Q23" s="4"/>
    </row>
    <row x14ac:dyDescent="0.25" r="24" customHeight="1" ht="18.75">
      <c r="A24" s="1"/>
      <c r="B24" s="2"/>
      <c r="C24" s="2"/>
      <c r="D24" s="2"/>
      <c r="E24" s="2"/>
      <c r="F24" s="3"/>
      <c r="G24" s="1"/>
      <c r="H24" s="3"/>
      <c r="I24" s="3"/>
      <c r="J24" s="3"/>
      <c r="K24" s="3"/>
      <c r="L24" s="4"/>
      <c r="M24" s="4"/>
      <c r="N24" s="4"/>
      <c r="O24" s="4"/>
      <c r="P24" s="4"/>
      <c r="Q24" s="4"/>
    </row>
    <row x14ac:dyDescent="0.25" r="25" customHeight="1" ht="18.75">
      <c r="A25" s="1"/>
      <c r="B25" s="2"/>
      <c r="C25" s="2"/>
      <c r="D25" s="2"/>
      <c r="E25" s="2"/>
      <c r="F25" s="3"/>
      <c r="G25" s="1"/>
      <c r="H25" s="3"/>
      <c r="I25" s="3"/>
      <c r="J25" s="3"/>
      <c r="K25" s="3"/>
      <c r="L25" s="4"/>
      <c r="M25" s="4"/>
      <c r="N25" s="4"/>
      <c r="O25" s="4"/>
      <c r="P25" s="4"/>
      <c r="Q25" s="4"/>
    </row>
    <row x14ac:dyDescent="0.25" r="26" customHeight="1" ht="18.75">
      <c r="A26" s="1"/>
      <c r="B26" s="2" t="s">
        <v>36</v>
      </c>
      <c r="C26" s="2"/>
      <c r="D26" s="2"/>
      <c r="E26" s="2"/>
      <c r="F26" s="3"/>
      <c r="G26" s="1"/>
      <c r="H26" s="3"/>
      <c r="I26" s="3"/>
      <c r="J26" s="3"/>
      <c r="K26" s="3"/>
      <c r="L26" s="4"/>
      <c r="M26" s="4"/>
      <c r="N26" s="4"/>
      <c r="O26" s="4"/>
      <c r="P26" s="4"/>
      <c r="Q26" s="4"/>
    </row>
    <row x14ac:dyDescent="0.25" r="27" customHeight="1" ht="18.75">
      <c r="A27" s="1"/>
      <c r="B27" s="2" t="s">
        <v>37</v>
      </c>
      <c r="C27" s="2" t="s">
        <v>38</v>
      </c>
      <c r="D27" s="2" t="s">
        <v>39</v>
      </c>
      <c r="E27" s="2" t="s">
        <v>40</v>
      </c>
      <c r="F27" s="3" t="s">
        <v>41</v>
      </c>
      <c r="G27" s="1"/>
      <c r="H27" s="3"/>
      <c r="I27" s="3"/>
      <c r="J27" s="3"/>
      <c r="K27" s="3"/>
      <c r="L27" s="4"/>
      <c r="M27" s="4"/>
      <c r="N27" s="4"/>
      <c r="O27" s="4"/>
      <c r="P27" s="4"/>
      <c r="Q27" s="4"/>
    </row>
    <row x14ac:dyDescent="0.25" r="28" customHeight="1" ht="18.75">
      <c r="A28" s="1"/>
      <c r="B28" s="9">
        <v>3000</v>
      </c>
      <c r="C28" s="9">
        <v>2</v>
      </c>
      <c r="D28" s="9">
        <v>4</v>
      </c>
      <c r="E28" s="9">
        <v>100000</v>
      </c>
      <c r="F28" s="3" t="s">
        <v>42</v>
      </c>
      <c r="G28" s="1"/>
      <c r="H28" s="3"/>
      <c r="I28" s="3"/>
      <c r="J28" s="3"/>
      <c r="K28" s="3"/>
      <c r="L28" s="4"/>
      <c r="M28" s="4"/>
      <c r="N28" s="4"/>
      <c r="O28" s="4"/>
      <c r="P28" s="4"/>
      <c r="Q2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8"/>
  <sheetViews>
    <sheetView workbookViewId="0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2.862142857142858" customWidth="1" bestFit="1"/>
    <col min="4" max="4" style="15" width="12.862142857142858" customWidth="1" bestFit="1"/>
    <col min="5" max="5" style="15" width="16.433571428571426" customWidth="1" bestFit="1"/>
    <col min="6" max="6" style="16" width="13.576428571428572" customWidth="1" bestFit="1"/>
    <col min="7" max="7" style="14" width="13.576428571428572" customWidth="1" bestFit="1"/>
    <col min="8" max="8" style="16" width="10.862142857142858" customWidth="1" bestFit="1"/>
    <col min="9" max="9" style="16" width="13.576428571428572" customWidth="1" bestFit="1"/>
    <col min="10" max="10" style="16" width="13.576428571428572" customWidth="1" bestFit="1"/>
    <col min="11" max="11" style="16" width="13.576428571428572" customWidth="1" bestFit="1"/>
    <col min="12" max="12" style="17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7" width="13.290714285714287" customWidth="1" bestFit="1"/>
    <col min="17" max="17" style="17" width="13.576428571428572" customWidth="1" bestFit="1"/>
  </cols>
  <sheetData>
    <row x14ac:dyDescent="0.25" r="1" customHeight="1" ht="18.75">
      <c r="A1" s="1"/>
      <c r="B1" s="2" t="s">
        <v>0</v>
      </c>
      <c r="C1" s="2"/>
      <c r="D1" s="2"/>
      <c r="E1" s="2"/>
      <c r="F1" s="3"/>
      <c r="G1" s="1"/>
      <c r="H1" s="3"/>
      <c r="I1" s="3"/>
      <c r="J1" s="3"/>
      <c r="K1" s="3"/>
      <c r="L1" s="4"/>
      <c r="M1" s="4" t="s">
        <v>1</v>
      </c>
      <c r="N1" s="4"/>
      <c r="O1" s="4"/>
      <c r="P1" s="4" t="s">
        <v>2</v>
      </c>
      <c r="Q1" s="4" t="s">
        <v>3</v>
      </c>
    </row>
    <row x14ac:dyDescent="0.25" r="2" customHeight="1" ht="18.75">
      <c r="A2" s="1"/>
      <c r="B2" s="2" t="s">
        <v>4</v>
      </c>
      <c r="C2" s="2" t="s">
        <v>5</v>
      </c>
      <c r="D2" s="2" t="s">
        <v>6</v>
      </c>
      <c r="E2" s="2" t="s">
        <v>7</v>
      </c>
      <c r="F2" s="3" t="s">
        <v>8</v>
      </c>
      <c r="G2" s="1"/>
      <c r="H2" s="3" t="s">
        <v>9</v>
      </c>
      <c r="I2" s="3" t="s">
        <v>10</v>
      </c>
      <c r="J2" s="3" t="s">
        <v>11</v>
      </c>
      <c r="K2" s="5" t="s">
        <v>12</v>
      </c>
      <c r="L2" s="6" t="s">
        <v>13</v>
      </c>
      <c r="M2" s="4" t="s">
        <v>14</v>
      </c>
      <c r="N2" s="4" t="s">
        <v>15</v>
      </c>
      <c r="O2" s="6" t="s">
        <v>16</v>
      </c>
      <c r="P2" s="7">
        <v>0.01</v>
      </c>
      <c r="Q2" s="7">
        <v>0.2</v>
      </c>
    </row>
    <row x14ac:dyDescent="0.25" r="3" customHeight="1" ht="18.75">
      <c r="A3" s="1"/>
      <c r="B3" s="2" t="s">
        <v>17</v>
      </c>
      <c r="C3" s="2" t="s">
        <v>18</v>
      </c>
      <c r="D3" s="2" t="s">
        <v>19</v>
      </c>
      <c r="E3" s="2" t="s">
        <v>20</v>
      </c>
      <c r="F3" s="3" t="s">
        <v>21</v>
      </c>
      <c r="G3" s="1"/>
      <c r="H3" s="8">
        <v>10000</v>
      </c>
      <c r="I3" s="9">
        <f>E15</f>
      </c>
      <c r="J3" s="9">
        <v>2</v>
      </c>
      <c r="K3" s="10">
        <f>I3/H3</f>
      </c>
      <c r="L3" s="11">
        <f>1/K3</f>
      </c>
      <c r="M3" s="12">
        <f>H3/I3*J3</f>
      </c>
      <c r="N3" s="12">
        <f>E20+E9+E10</f>
      </c>
      <c r="O3" s="11">
        <f>M3+N3</f>
      </c>
      <c r="P3" s="12">
        <f>O3*(1+P2)</f>
      </c>
      <c r="Q3" s="12">
        <f>O3*(1+Q2)</f>
      </c>
    </row>
    <row x14ac:dyDescent="0.25" r="4" customHeight="1" ht="18.75">
      <c r="A4" s="1"/>
      <c r="B4" s="2" t="s">
        <v>22</v>
      </c>
      <c r="C4" s="2" t="s">
        <v>19</v>
      </c>
      <c r="D4" s="2" t="s">
        <v>23</v>
      </c>
      <c r="E4" s="2" t="s">
        <v>20</v>
      </c>
      <c r="F4" s="3" t="s">
        <v>21</v>
      </c>
      <c r="G4" s="1" t="s">
        <v>24</v>
      </c>
      <c r="H4" s="8">
        <v>50000</v>
      </c>
      <c r="I4" s="9">
        <f>$E$28</f>
      </c>
      <c r="J4" s="9">
        <v>3</v>
      </c>
      <c r="K4" s="13">
        <f>I4/H4</f>
      </c>
      <c r="L4" s="11">
        <f>1/K4</f>
      </c>
      <c r="M4" s="12">
        <f>H4/I4*J4</f>
      </c>
      <c r="N4" s="12">
        <f>E10+E11+E20+E21</f>
      </c>
      <c r="O4" s="11">
        <f>M4+N4</f>
      </c>
      <c r="P4" s="12">
        <f>O4*(1+P3)</f>
      </c>
      <c r="Q4" s="12">
        <f>O4*(1+Q3)</f>
      </c>
    </row>
    <row x14ac:dyDescent="0.25" r="5" customHeight="1" ht="18.75">
      <c r="A5" s="1"/>
      <c r="B5" s="2"/>
      <c r="C5" s="2"/>
      <c r="D5" s="2"/>
      <c r="E5" s="2"/>
      <c r="F5" s="3"/>
      <c r="G5" s="1"/>
      <c r="H5" s="3"/>
      <c r="I5" s="3"/>
      <c r="J5" s="3"/>
      <c r="K5" s="3"/>
      <c r="L5" s="4"/>
      <c r="M5" s="4"/>
      <c r="N5" s="4"/>
      <c r="O5" s="4"/>
      <c r="P5" s="4"/>
      <c r="Q5" s="4"/>
    </row>
    <row x14ac:dyDescent="0.25" r="6" customHeight="1" ht="18.75">
      <c r="A6" s="1"/>
      <c r="B6" s="2"/>
      <c r="C6" s="2"/>
      <c r="D6" s="2"/>
      <c r="E6" s="2"/>
      <c r="F6" s="3"/>
      <c r="G6" s="1"/>
      <c r="H6" s="3"/>
      <c r="I6" s="3"/>
      <c r="J6" s="3"/>
      <c r="K6" s="3"/>
      <c r="L6" s="4"/>
      <c r="M6" s="4"/>
      <c r="N6" s="4"/>
      <c r="O6" s="4"/>
      <c r="P6" s="4"/>
      <c r="Q6" s="4"/>
    </row>
    <row x14ac:dyDescent="0.25" r="7" customHeight="1" ht="18.75">
      <c r="A7" s="1"/>
      <c r="B7" s="2" t="s">
        <v>25</v>
      </c>
      <c r="C7" s="2"/>
      <c r="D7" s="2"/>
      <c r="E7" s="2"/>
      <c r="F7" s="3"/>
      <c r="G7" s="1"/>
      <c r="H7" s="3"/>
      <c r="I7" s="3"/>
      <c r="J7" s="3"/>
      <c r="K7" s="3"/>
      <c r="L7" s="4"/>
      <c r="M7" s="4"/>
      <c r="N7" s="4"/>
      <c r="O7" s="4"/>
      <c r="P7" s="4"/>
      <c r="Q7" s="4"/>
    </row>
    <row x14ac:dyDescent="0.25" r="8" customHeight="1" ht="18.75">
      <c r="A8" s="1"/>
      <c r="B8" s="2" t="s">
        <v>4</v>
      </c>
      <c r="C8" s="2" t="s">
        <v>26</v>
      </c>
      <c r="D8" s="2" t="s">
        <v>27</v>
      </c>
      <c r="E8" s="2" t="s">
        <v>28</v>
      </c>
      <c r="F8" s="5" t="s">
        <v>12</v>
      </c>
      <c r="G8" s="1"/>
      <c r="H8" s="3"/>
      <c r="I8" s="3"/>
      <c r="J8" s="3"/>
      <c r="K8" s="3"/>
      <c r="L8" s="4"/>
      <c r="M8" s="4"/>
      <c r="N8" s="4"/>
      <c r="O8" s="4"/>
      <c r="P8" s="4"/>
      <c r="Q8" s="4"/>
    </row>
    <row x14ac:dyDescent="0.25" r="9" customHeight="1" ht="18.75">
      <c r="A9" s="1"/>
      <c r="B9" s="2" t="s">
        <v>18</v>
      </c>
      <c r="C9" s="9">
        <v>500</v>
      </c>
      <c r="D9" s="8">
        <v>5</v>
      </c>
      <c r="E9" s="12">
        <f>D9/C9</f>
      </c>
      <c r="F9" s="13">
        <f>C9/D9</f>
      </c>
      <c r="G9" s="1"/>
      <c r="H9" s="3"/>
      <c r="I9" s="3"/>
      <c r="J9" s="3"/>
      <c r="K9" s="3"/>
      <c r="L9" s="4"/>
      <c r="M9" s="4"/>
      <c r="N9" s="4"/>
      <c r="O9" s="4"/>
      <c r="P9" s="4"/>
      <c r="Q9" s="4"/>
    </row>
    <row x14ac:dyDescent="0.25" r="10" customHeight="1" ht="18.75">
      <c r="A10" s="1"/>
      <c r="B10" s="2" t="s">
        <v>19</v>
      </c>
      <c r="C10" s="9">
        <v>500</v>
      </c>
      <c r="D10" s="8">
        <v>5</v>
      </c>
      <c r="E10" s="12">
        <f>D10/C10</f>
      </c>
      <c r="F10" s="13">
        <f>C10/D10</f>
      </c>
      <c r="G10" s="1"/>
      <c r="H10" s="3"/>
      <c r="I10" s="3"/>
      <c r="J10" s="3"/>
      <c r="K10" s="3"/>
      <c r="L10" s="4"/>
      <c r="M10" s="4"/>
      <c r="N10" s="4"/>
      <c r="O10" s="4"/>
      <c r="P10" s="4"/>
      <c r="Q10" s="4"/>
    </row>
    <row x14ac:dyDescent="0.25" r="11" customHeight="1" ht="18.75">
      <c r="A11" s="1"/>
      <c r="B11" s="2" t="s">
        <v>23</v>
      </c>
      <c r="C11" s="9">
        <v>500</v>
      </c>
      <c r="D11" s="8">
        <v>0</v>
      </c>
      <c r="E11" s="9">
        <f>D11/C11</f>
      </c>
      <c r="F11" s="5">
        <f>C11/D11</f>
      </c>
      <c r="G11" s="1"/>
      <c r="H11" s="3"/>
      <c r="I11" s="3"/>
      <c r="J11" s="3"/>
      <c r="K11" s="3"/>
      <c r="L11" s="4"/>
      <c r="M11" s="4"/>
      <c r="N11" s="4"/>
      <c r="O11" s="4"/>
      <c r="P11" s="4"/>
      <c r="Q11" s="4"/>
    </row>
    <row x14ac:dyDescent="0.25" r="12" customHeight="1" ht="18.75">
      <c r="A12" s="1"/>
      <c r="B12" s="2"/>
      <c r="C12" s="2"/>
      <c r="D12" s="2"/>
      <c r="E12" s="2"/>
      <c r="F12" s="3"/>
      <c r="G12" s="1"/>
      <c r="H12" s="3"/>
      <c r="I12" s="3"/>
      <c r="J12" s="3"/>
      <c r="K12" s="3"/>
      <c r="L12" s="4"/>
      <c r="M12" s="4"/>
      <c r="N12" s="4"/>
      <c r="O12" s="4"/>
      <c r="P12" s="4"/>
      <c r="Q12" s="4"/>
    </row>
    <row x14ac:dyDescent="0.25" r="13" customHeight="1" ht="18.75">
      <c r="A13" s="1"/>
      <c r="B13" s="2" t="s">
        <v>29</v>
      </c>
      <c r="C13" s="2"/>
      <c r="D13" s="2"/>
      <c r="E13" s="2"/>
      <c r="F13" s="3"/>
      <c r="G13" s="1"/>
      <c r="H13" s="3"/>
      <c r="I13" s="3"/>
      <c r="J13" s="3"/>
      <c r="K13" s="3"/>
      <c r="L13" s="4"/>
      <c r="M13" s="4"/>
      <c r="N13" s="4"/>
      <c r="O13" s="4"/>
      <c r="P13" s="4"/>
      <c r="Q13" s="4"/>
    </row>
    <row x14ac:dyDescent="0.25" r="14" customHeight="1" ht="18.75">
      <c r="A14" s="1"/>
      <c r="B14" s="2" t="s">
        <v>4</v>
      </c>
      <c r="C14" s="2" t="s">
        <v>5</v>
      </c>
      <c r="D14" s="2" t="s">
        <v>6</v>
      </c>
      <c r="E14" s="2" t="s">
        <v>10</v>
      </c>
      <c r="F14" s="3"/>
      <c r="G14" s="1"/>
      <c r="H14" s="3"/>
      <c r="I14" s="3"/>
      <c r="J14" s="3"/>
      <c r="K14" s="3"/>
      <c r="L14" s="4"/>
      <c r="M14" s="4"/>
      <c r="N14" s="4"/>
      <c r="O14" s="4"/>
      <c r="P14" s="4"/>
      <c r="Q14" s="4"/>
    </row>
    <row x14ac:dyDescent="0.25" r="15" customHeight="1" ht="18.75">
      <c r="A15" s="1"/>
      <c r="B15" s="2" t="s">
        <v>30</v>
      </c>
      <c r="C15" s="2" t="s">
        <v>18</v>
      </c>
      <c r="D15" s="2" t="s">
        <v>19</v>
      </c>
      <c r="E15" s="9">
        <v>25000</v>
      </c>
      <c r="F15" s="3"/>
      <c r="G15" s="1"/>
      <c r="H15" s="3"/>
      <c r="I15" s="3"/>
      <c r="J15" s="3"/>
      <c r="K15" s="3"/>
      <c r="L15" s="4"/>
      <c r="M15" s="4"/>
      <c r="N15" s="4"/>
      <c r="O15" s="4"/>
      <c r="P15" s="4"/>
      <c r="Q15" s="4"/>
    </row>
    <row x14ac:dyDescent="0.25" r="16" customHeight="1" ht="18.75">
      <c r="A16" s="1"/>
      <c r="B16" s="2"/>
      <c r="C16" s="2"/>
      <c r="D16" s="2"/>
      <c r="E16" s="2"/>
      <c r="F16" s="3"/>
      <c r="G16" s="1"/>
      <c r="H16" s="3"/>
      <c r="I16" s="3"/>
      <c r="J16" s="3"/>
      <c r="K16" s="3"/>
      <c r="L16" s="4"/>
      <c r="M16" s="4"/>
      <c r="N16" s="4"/>
      <c r="O16" s="4"/>
      <c r="P16" s="4"/>
      <c r="Q16" s="4"/>
    </row>
    <row x14ac:dyDescent="0.25" r="17" customHeight="1" ht="18.75">
      <c r="A17" s="1"/>
      <c r="B17" s="2"/>
      <c r="C17" s="2"/>
      <c r="D17" s="2"/>
      <c r="E17" s="2"/>
      <c r="F17" s="3"/>
      <c r="G17" s="1"/>
      <c r="H17" s="3"/>
      <c r="I17" s="3"/>
      <c r="J17" s="3"/>
      <c r="K17" s="3"/>
      <c r="L17" s="4"/>
      <c r="M17" s="4"/>
      <c r="N17" s="4"/>
      <c r="O17" s="4"/>
      <c r="P17" s="4"/>
      <c r="Q17" s="4"/>
    </row>
    <row x14ac:dyDescent="0.25" r="18" customHeight="1" ht="18.75">
      <c r="A18" s="1"/>
      <c r="B18" s="2" t="s">
        <v>31</v>
      </c>
      <c r="C18" s="2"/>
      <c r="D18" s="2"/>
      <c r="E18" s="2"/>
      <c r="F18" s="3"/>
      <c r="G18" s="1"/>
      <c r="H18" s="3"/>
      <c r="I18" s="3"/>
      <c r="J18" s="3"/>
      <c r="K18" s="3"/>
      <c r="L18" s="4"/>
      <c r="M18" s="4"/>
      <c r="N18" s="4"/>
      <c r="O18" s="4"/>
      <c r="P18" s="4"/>
      <c r="Q18" s="4"/>
    </row>
    <row x14ac:dyDescent="0.25" r="19" customHeight="1" ht="18.75">
      <c r="A19" s="1"/>
      <c r="B19" s="2" t="s">
        <v>4</v>
      </c>
      <c r="C19" s="2" t="s">
        <v>26</v>
      </c>
      <c r="D19" s="2" t="s">
        <v>32</v>
      </c>
      <c r="E19" s="2" t="s">
        <v>33</v>
      </c>
      <c r="F19" s="5" t="s">
        <v>12</v>
      </c>
      <c r="G19" s="1"/>
      <c r="H19" s="3"/>
      <c r="I19" s="3"/>
      <c r="J19" s="3"/>
      <c r="K19" s="3"/>
      <c r="L19" s="4"/>
      <c r="M19" s="4"/>
      <c r="N19" s="4"/>
      <c r="O19" s="4"/>
      <c r="P19" s="4"/>
      <c r="Q19" s="4"/>
    </row>
    <row x14ac:dyDescent="0.25" r="20" customHeight="1" ht="18.75">
      <c r="A20" s="1"/>
      <c r="B20" s="2" t="s">
        <v>21</v>
      </c>
      <c r="C20" s="9">
        <v>1000</v>
      </c>
      <c r="D20" s="8">
        <v>100</v>
      </c>
      <c r="E20" s="12">
        <f>D20/C20</f>
      </c>
      <c r="F20" s="13">
        <f>C20/D20</f>
      </c>
      <c r="G20" s="1"/>
      <c r="H20" s="3"/>
      <c r="I20" s="3"/>
      <c r="J20" s="3"/>
      <c r="K20" s="3"/>
      <c r="L20" s="4"/>
      <c r="M20" s="4"/>
      <c r="N20" s="4"/>
      <c r="O20" s="4"/>
      <c r="P20" s="4"/>
      <c r="Q20" s="4"/>
    </row>
    <row x14ac:dyDescent="0.25" r="21" customHeight="1" ht="18.75">
      <c r="A21" s="1"/>
      <c r="B21" s="2" t="s">
        <v>24</v>
      </c>
      <c r="C21" s="9">
        <v>1000</v>
      </c>
      <c r="D21" s="8">
        <v>25</v>
      </c>
      <c r="E21" s="12">
        <f>D21/C21</f>
      </c>
      <c r="F21" s="13">
        <f>C21/D21</f>
      </c>
      <c r="G21" s="1"/>
      <c r="H21" s="3"/>
      <c r="I21" s="3"/>
      <c r="J21" s="3"/>
      <c r="K21" s="3"/>
      <c r="L21" s="4"/>
      <c r="M21" s="4"/>
      <c r="N21" s="4"/>
      <c r="O21" s="4"/>
      <c r="P21" s="4"/>
      <c r="Q21" s="4"/>
    </row>
    <row x14ac:dyDescent="0.25" r="22" customHeight="1" ht="18.75">
      <c r="A22" s="1"/>
      <c r="B22" s="2" t="s">
        <v>34</v>
      </c>
      <c r="C22" s="9">
        <v>1000</v>
      </c>
      <c r="D22" s="8">
        <v>100</v>
      </c>
      <c r="E22" s="12">
        <f>D22/C22</f>
      </c>
      <c r="F22" s="13">
        <f>C22/D22</f>
      </c>
      <c r="G22" s="1"/>
      <c r="H22" s="3"/>
      <c r="I22" s="3"/>
      <c r="J22" s="3"/>
      <c r="K22" s="3"/>
      <c r="L22" s="4"/>
      <c r="M22" s="4"/>
      <c r="N22" s="4"/>
      <c r="O22" s="4"/>
      <c r="P22" s="4"/>
      <c r="Q22" s="4"/>
    </row>
    <row x14ac:dyDescent="0.25" r="23" customHeight="1" ht="18.75">
      <c r="A23" s="1"/>
      <c r="B23" s="2" t="s">
        <v>35</v>
      </c>
      <c r="C23" s="9">
        <v>1000</v>
      </c>
      <c r="D23" s="8">
        <v>100</v>
      </c>
      <c r="E23" s="12">
        <f>D23/C23</f>
      </c>
      <c r="F23" s="13">
        <f>C23/D23</f>
      </c>
      <c r="G23" s="1"/>
      <c r="H23" s="3"/>
      <c r="I23" s="3"/>
      <c r="J23" s="3"/>
      <c r="K23" s="3"/>
      <c r="L23" s="4"/>
      <c r="M23" s="4"/>
      <c r="N23" s="4"/>
      <c r="O23" s="4"/>
      <c r="P23" s="4"/>
      <c r="Q23" s="4"/>
    </row>
    <row x14ac:dyDescent="0.25" r="24" customHeight="1" ht="18.75">
      <c r="A24" s="1"/>
      <c r="B24" s="2"/>
      <c r="C24" s="2"/>
      <c r="D24" s="2"/>
      <c r="E24" s="2"/>
      <c r="F24" s="3"/>
      <c r="G24" s="1"/>
      <c r="H24" s="3"/>
      <c r="I24" s="3"/>
      <c r="J24" s="3"/>
      <c r="K24" s="3"/>
      <c r="L24" s="4"/>
      <c r="M24" s="4"/>
      <c r="N24" s="4"/>
      <c r="O24" s="4"/>
      <c r="P24" s="4"/>
      <c r="Q24" s="4"/>
    </row>
    <row x14ac:dyDescent="0.25" r="25" customHeight="1" ht="18.75">
      <c r="A25" s="1"/>
      <c r="B25" s="2"/>
      <c r="C25" s="2"/>
      <c r="D25" s="2"/>
      <c r="E25" s="2"/>
      <c r="F25" s="3"/>
      <c r="G25" s="1"/>
      <c r="H25" s="3"/>
      <c r="I25" s="3"/>
      <c r="J25" s="3"/>
      <c r="K25" s="3"/>
      <c r="L25" s="4"/>
      <c r="M25" s="4"/>
      <c r="N25" s="4"/>
      <c r="O25" s="4"/>
      <c r="P25" s="4"/>
      <c r="Q25" s="4"/>
    </row>
    <row x14ac:dyDescent="0.25" r="26" customHeight="1" ht="18.75">
      <c r="A26" s="1"/>
      <c r="B26" s="2" t="s">
        <v>36</v>
      </c>
      <c r="C26" s="2"/>
      <c r="D26" s="2"/>
      <c r="E26" s="2"/>
      <c r="F26" s="3"/>
      <c r="G26" s="1"/>
      <c r="H26" s="3"/>
      <c r="I26" s="3"/>
      <c r="J26" s="3"/>
      <c r="K26" s="3"/>
      <c r="L26" s="4"/>
      <c r="M26" s="4"/>
      <c r="N26" s="4"/>
      <c r="O26" s="4"/>
      <c r="P26" s="4"/>
      <c r="Q26" s="4"/>
    </row>
    <row x14ac:dyDescent="0.25" r="27" customHeight="1" ht="18.75">
      <c r="A27" s="1"/>
      <c r="B27" s="2" t="s">
        <v>37</v>
      </c>
      <c r="C27" s="2" t="s">
        <v>38</v>
      </c>
      <c r="D27" s="2" t="s">
        <v>39</v>
      </c>
      <c r="E27" s="2" t="s">
        <v>40</v>
      </c>
      <c r="F27" s="3" t="s">
        <v>41</v>
      </c>
      <c r="G27" s="1"/>
      <c r="H27" s="3"/>
      <c r="I27" s="3"/>
      <c r="J27" s="3"/>
      <c r="K27" s="3"/>
      <c r="L27" s="4"/>
      <c r="M27" s="4"/>
      <c r="N27" s="4"/>
      <c r="O27" s="4"/>
      <c r="P27" s="4"/>
      <c r="Q27" s="4"/>
    </row>
    <row x14ac:dyDescent="0.25" r="28" customHeight="1" ht="18.75">
      <c r="A28" s="1"/>
      <c r="B28" s="9">
        <v>3000</v>
      </c>
      <c r="C28" s="9">
        <v>2</v>
      </c>
      <c r="D28" s="9">
        <v>4</v>
      </c>
      <c r="E28" s="9">
        <v>100000</v>
      </c>
      <c r="F28" s="3" t="s">
        <v>42</v>
      </c>
      <c r="G28" s="1"/>
      <c r="H28" s="3"/>
      <c r="I28" s="3"/>
      <c r="J28" s="3"/>
      <c r="K28" s="3"/>
      <c r="L28" s="4"/>
      <c r="M28" s="4"/>
      <c r="N28" s="4"/>
      <c r="O28" s="4"/>
      <c r="P28" s="4"/>
      <c r="Q2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8"/>
  <sheetViews>
    <sheetView workbookViewId="0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2.862142857142858" customWidth="1" bestFit="1"/>
    <col min="4" max="4" style="15" width="12.862142857142858" customWidth="1" bestFit="1"/>
    <col min="5" max="5" style="15" width="16.433571428571426" customWidth="1" bestFit="1"/>
    <col min="6" max="6" style="16" width="13.576428571428572" customWidth="1" bestFit="1"/>
    <col min="7" max="7" style="14" width="13.576428571428572" customWidth="1" bestFit="1"/>
    <col min="8" max="8" style="16" width="10.862142857142858" customWidth="1" bestFit="1"/>
    <col min="9" max="9" style="16" width="13.576428571428572" customWidth="1" bestFit="1"/>
    <col min="10" max="10" style="16" width="13.576428571428572" customWidth="1" bestFit="1"/>
    <col min="11" max="11" style="16" width="13.576428571428572" customWidth="1" bestFit="1"/>
    <col min="12" max="12" style="17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7" width="13.290714285714287" customWidth="1" bestFit="1"/>
    <col min="17" max="17" style="17" width="13.576428571428572" customWidth="1" bestFit="1"/>
  </cols>
  <sheetData>
    <row x14ac:dyDescent="0.25" r="1" customHeight="1" ht="18.75">
      <c r="A1" s="1"/>
      <c r="B1" s="2" t="s">
        <v>0</v>
      </c>
      <c r="C1" s="2"/>
      <c r="D1" s="2"/>
      <c r="E1" s="2"/>
      <c r="F1" s="3"/>
      <c r="G1" s="1"/>
      <c r="H1" s="3"/>
      <c r="I1" s="3"/>
      <c r="J1" s="3"/>
      <c r="K1" s="3"/>
      <c r="L1" s="4"/>
      <c r="M1" s="4" t="s">
        <v>1</v>
      </c>
      <c r="N1" s="4"/>
      <c r="O1" s="4"/>
      <c r="P1" s="4" t="s">
        <v>2</v>
      </c>
      <c r="Q1" s="4" t="s">
        <v>3</v>
      </c>
    </row>
    <row x14ac:dyDescent="0.25" r="2" customHeight="1" ht="18.75">
      <c r="A2" s="1"/>
      <c r="B2" s="2" t="s">
        <v>4</v>
      </c>
      <c r="C2" s="2" t="s">
        <v>5</v>
      </c>
      <c r="D2" s="2" t="s">
        <v>6</v>
      </c>
      <c r="E2" s="2" t="s">
        <v>7</v>
      </c>
      <c r="F2" s="3" t="s">
        <v>8</v>
      </c>
      <c r="G2" s="1"/>
      <c r="H2" s="3" t="s">
        <v>9</v>
      </c>
      <c r="I2" s="3" t="s">
        <v>10</v>
      </c>
      <c r="J2" s="3" t="s">
        <v>11</v>
      </c>
      <c r="K2" s="5" t="s">
        <v>12</v>
      </c>
      <c r="L2" s="6" t="s">
        <v>13</v>
      </c>
      <c r="M2" s="4" t="s">
        <v>14</v>
      </c>
      <c r="N2" s="4" t="s">
        <v>15</v>
      </c>
      <c r="O2" s="6" t="s">
        <v>16</v>
      </c>
      <c r="P2" s="7">
        <v>0.01</v>
      </c>
      <c r="Q2" s="7">
        <v>0.2</v>
      </c>
    </row>
    <row x14ac:dyDescent="0.25" r="3" customHeight="1" ht="18.75">
      <c r="A3" s="1"/>
      <c r="B3" s="2" t="s">
        <v>17</v>
      </c>
      <c r="C3" s="2" t="s">
        <v>18</v>
      </c>
      <c r="D3" s="2" t="s">
        <v>19</v>
      </c>
      <c r="E3" s="2" t="s">
        <v>20</v>
      </c>
      <c r="F3" s="3" t="s">
        <v>21</v>
      </c>
      <c r="G3" s="1"/>
      <c r="H3" s="8">
        <v>10000</v>
      </c>
      <c r="I3" s="9">
        <f>E15</f>
      </c>
      <c r="J3" s="9">
        <v>2</v>
      </c>
      <c r="K3" s="10">
        <f>I3/H3</f>
      </c>
      <c r="L3" s="11">
        <f>1/K3</f>
      </c>
      <c r="M3" s="12">
        <f>H3/I3*J3</f>
      </c>
      <c r="N3" s="12">
        <f>E20+E9+E10</f>
      </c>
      <c r="O3" s="11">
        <f>M3+N3</f>
      </c>
      <c r="P3" s="12">
        <f>O3*(1+P2)</f>
      </c>
      <c r="Q3" s="12">
        <f>O3*(1+Q2)</f>
      </c>
    </row>
    <row x14ac:dyDescent="0.25" r="4" customHeight="1" ht="18.75">
      <c r="A4" s="1"/>
      <c r="B4" s="2" t="s">
        <v>22</v>
      </c>
      <c r="C4" s="2" t="s">
        <v>19</v>
      </c>
      <c r="D4" s="2" t="s">
        <v>23</v>
      </c>
      <c r="E4" s="2" t="s">
        <v>20</v>
      </c>
      <c r="F4" s="3" t="s">
        <v>21</v>
      </c>
      <c r="G4" s="1" t="s">
        <v>24</v>
      </c>
      <c r="H4" s="8">
        <v>50000</v>
      </c>
      <c r="I4" s="9">
        <f>$E$28</f>
      </c>
      <c r="J4" s="9">
        <v>3</v>
      </c>
      <c r="K4" s="13">
        <f>I4/H4</f>
      </c>
      <c r="L4" s="11">
        <f>1/K4</f>
      </c>
      <c r="M4" s="12">
        <f>H4/I4*J4</f>
      </c>
      <c r="N4" s="12">
        <f>E10+E11+E20+E21</f>
      </c>
      <c r="O4" s="11">
        <f>M4+N4</f>
      </c>
      <c r="P4" s="12">
        <f>O4*(1+P3)</f>
      </c>
      <c r="Q4" s="12">
        <f>O4*(1+Q3)</f>
      </c>
    </row>
    <row x14ac:dyDescent="0.25" r="5" customHeight="1" ht="18.75">
      <c r="A5" s="1"/>
      <c r="B5" s="2"/>
      <c r="C5" s="2"/>
      <c r="D5" s="2"/>
      <c r="E5" s="2"/>
      <c r="F5" s="3"/>
      <c r="G5" s="1"/>
      <c r="H5" s="3"/>
      <c r="I5" s="3"/>
      <c r="J5" s="3"/>
      <c r="K5" s="3"/>
      <c r="L5" s="4"/>
      <c r="M5" s="4"/>
      <c r="N5" s="4"/>
      <c r="O5" s="4"/>
      <c r="P5" s="4"/>
      <c r="Q5" s="4"/>
    </row>
    <row x14ac:dyDescent="0.25" r="6" customHeight="1" ht="18.75">
      <c r="A6" s="1"/>
      <c r="B6" s="2"/>
      <c r="C6" s="2"/>
      <c r="D6" s="2"/>
      <c r="E6" s="2"/>
      <c r="F6" s="3"/>
      <c r="G6" s="1"/>
      <c r="H6" s="3"/>
      <c r="I6" s="3"/>
      <c r="J6" s="3"/>
      <c r="K6" s="3"/>
      <c r="L6" s="4"/>
      <c r="M6" s="4"/>
      <c r="N6" s="4"/>
      <c r="O6" s="4"/>
      <c r="P6" s="4"/>
      <c r="Q6" s="4"/>
    </row>
    <row x14ac:dyDescent="0.25" r="7" customHeight="1" ht="18.75">
      <c r="A7" s="1"/>
      <c r="B7" s="2" t="s">
        <v>25</v>
      </c>
      <c r="C7" s="2"/>
      <c r="D7" s="2"/>
      <c r="E7" s="2"/>
      <c r="F7" s="3"/>
      <c r="G7" s="1"/>
      <c r="H7" s="3"/>
      <c r="I7" s="3"/>
      <c r="J7" s="3"/>
      <c r="K7" s="3"/>
      <c r="L7" s="4"/>
      <c r="M7" s="4"/>
      <c r="N7" s="4"/>
      <c r="O7" s="4"/>
      <c r="P7" s="4"/>
      <c r="Q7" s="4"/>
    </row>
    <row x14ac:dyDescent="0.25" r="8" customHeight="1" ht="18.75">
      <c r="A8" s="1"/>
      <c r="B8" s="2" t="s">
        <v>4</v>
      </c>
      <c r="C8" s="2" t="s">
        <v>26</v>
      </c>
      <c r="D8" s="2" t="s">
        <v>27</v>
      </c>
      <c r="E8" s="2" t="s">
        <v>28</v>
      </c>
      <c r="F8" s="5" t="s">
        <v>12</v>
      </c>
      <c r="G8" s="1"/>
      <c r="H8" s="3"/>
      <c r="I8" s="3"/>
      <c r="J8" s="3"/>
      <c r="K8" s="3"/>
      <c r="L8" s="4"/>
      <c r="M8" s="4"/>
      <c r="N8" s="4"/>
      <c r="O8" s="4"/>
      <c r="P8" s="4"/>
      <c r="Q8" s="4"/>
    </row>
    <row x14ac:dyDescent="0.25" r="9" customHeight="1" ht="18.75">
      <c r="A9" s="1"/>
      <c r="B9" s="2" t="s">
        <v>18</v>
      </c>
      <c r="C9" s="9">
        <v>500</v>
      </c>
      <c r="D9" s="8">
        <v>5</v>
      </c>
      <c r="E9" s="12">
        <f>D9/C9</f>
      </c>
      <c r="F9" s="13">
        <f>C9/D9</f>
      </c>
      <c r="G9" s="1"/>
      <c r="H9" s="3"/>
      <c r="I9" s="3"/>
      <c r="J9" s="3"/>
      <c r="K9" s="3"/>
      <c r="L9" s="4"/>
      <c r="M9" s="4"/>
      <c r="N9" s="4"/>
      <c r="O9" s="4"/>
      <c r="P9" s="4"/>
      <c r="Q9" s="4"/>
    </row>
    <row x14ac:dyDescent="0.25" r="10" customHeight="1" ht="18.75">
      <c r="A10" s="1"/>
      <c r="B10" s="2" t="s">
        <v>19</v>
      </c>
      <c r="C10" s="9">
        <v>500</v>
      </c>
      <c r="D10" s="8">
        <v>5</v>
      </c>
      <c r="E10" s="12">
        <f>D10/C10</f>
      </c>
      <c r="F10" s="13">
        <f>C10/D10</f>
      </c>
      <c r="G10" s="1"/>
      <c r="H10" s="3"/>
      <c r="I10" s="3"/>
      <c r="J10" s="3"/>
      <c r="K10" s="3"/>
      <c r="L10" s="4"/>
      <c r="M10" s="4"/>
      <c r="N10" s="4"/>
      <c r="O10" s="4"/>
      <c r="P10" s="4"/>
      <c r="Q10" s="4"/>
    </row>
    <row x14ac:dyDescent="0.25" r="11" customHeight="1" ht="18.75">
      <c r="A11" s="1"/>
      <c r="B11" s="2" t="s">
        <v>23</v>
      </c>
      <c r="C11" s="9">
        <v>500</v>
      </c>
      <c r="D11" s="8">
        <v>0</v>
      </c>
      <c r="E11" s="9">
        <f>D11/C11</f>
      </c>
      <c r="F11" s="5">
        <f>C11/D11</f>
      </c>
      <c r="G11" s="1"/>
      <c r="H11" s="3"/>
      <c r="I11" s="3"/>
      <c r="J11" s="3"/>
      <c r="K11" s="3"/>
      <c r="L11" s="4"/>
      <c r="M11" s="4"/>
      <c r="N11" s="4"/>
      <c r="O11" s="4"/>
      <c r="P11" s="4"/>
      <c r="Q11" s="4"/>
    </row>
    <row x14ac:dyDescent="0.25" r="12" customHeight="1" ht="18.75">
      <c r="A12" s="1"/>
      <c r="B12" s="2"/>
      <c r="C12" s="2"/>
      <c r="D12" s="2"/>
      <c r="E12" s="2"/>
      <c r="F12" s="3"/>
      <c r="G12" s="1"/>
      <c r="H12" s="3"/>
      <c r="I12" s="3"/>
      <c r="J12" s="3"/>
      <c r="K12" s="3"/>
      <c r="L12" s="4"/>
      <c r="M12" s="4"/>
      <c r="N12" s="4"/>
      <c r="O12" s="4"/>
      <c r="P12" s="4"/>
      <c r="Q12" s="4"/>
    </row>
    <row x14ac:dyDescent="0.25" r="13" customHeight="1" ht="18.75">
      <c r="A13" s="1"/>
      <c r="B13" s="2" t="s">
        <v>29</v>
      </c>
      <c r="C13" s="2"/>
      <c r="D13" s="2"/>
      <c r="E13" s="2"/>
      <c r="F13" s="3"/>
      <c r="G13" s="1"/>
      <c r="H13" s="3"/>
      <c r="I13" s="3"/>
      <c r="J13" s="3"/>
      <c r="K13" s="3"/>
      <c r="L13" s="4"/>
      <c r="M13" s="4"/>
      <c r="N13" s="4"/>
      <c r="O13" s="4"/>
      <c r="P13" s="4"/>
      <c r="Q13" s="4"/>
    </row>
    <row x14ac:dyDescent="0.25" r="14" customHeight="1" ht="18.75">
      <c r="A14" s="1"/>
      <c r="B14" s="2" t="s">
        <v>4</v>
      </c>
      <c r="C14" s="2" t="s">
        <v>5</v>
      </c>
      <c r="D14" s="2" t="s">
        <v>6</v>
      </c>
      <c r="E14" s="2" t="s">
        <v>10</v>
      </c>
      <c r="F14" s="3"/>
      <c r="G14" s="1"/>
      <c r="H14" s="3"/>
      <c r="I14" s="3"/>
      <c r="J14" s="3"/>
      <c r="K14" s="3"/>
      <c r="L14" s="4"/>
      <c r="M14" s="4"/>
      <c r="N14" s="4"/>
      <c r="O14" s="4"/>
      <c r="P14" s="4"/>
      <c r="Q14" s="4"/>
    </row>
    <row x14ac:dyDescent="0.25" r="15" customHeight="1" ht="18.75">
      <c r="A15" s="1"/>
      <c r="B15" s="2" t="s">
        <v>30</v>
      </c>
      <c r="C15" s="2" t="s">
        <v>18</v>
      </c>
      <c r="D15" s="2" t="s">
        <v>19</v>
      </c>
      <c r="E15" s="9">
        <v>25000</v>
      </c>
      <c r="F15" s="3"/>
      <c r="G15" s="1"/>
      <c r="H15" s="3"/>
      <c r="I15" s="3"/>
      <c r="J15" s="3"/>
      <c r="K15" s="3"/>
      <c r="L15" s="4"/>
      <c r="M15" s="4"/>
      <c r="N15" s="4"/>
      <c r="O15" s="4"/>
      <c r="P15" s="4"/>
      <c r="Q15" s="4"/>
    </row>
    <row x14ac:dyDescent="0.25" r="16" customHeight="1" ht="18.75">
      <c r="A16" s="1"/>
      <c r="B16" s="2"/>
      <c r="C16" s="2"/>
      <c r="D16" s="2"/>
      <c r="E16" s="2"/>
      <c r="F16" s="3"/>
      <c r="G16" s="1"/>
      <c r="H16" s="3"/>
      <c r="I16" s="3"/>
      <c r="J16" s="3"/>
      <c r="K16" s="3"/>
      <c r="L16" s="4"/>
      <c r="M16" s="4"/>
      <c r="N16" s="4"/>
      <c r="O16" s="4"/>
      <c r="P16" s="4"/>
      <c r="Q16" s="4"/>
    </row>
    <row x14ac:dyDescent="0.25" r="17" customHeight="1" ht="18.75">
      <c r="A17" s="1"/>
      <c r="B17" s="2"/>
      <c r="C17" s="2"/>
      <c r="D17" s="2"/>
      <c r="E17" s="2"/>
      <c r="F17" s="3"/>
      <c r="G17" s="1"/>
      <c r="H17" s="3"/>
      <c r="I17" s="3"/>
      <c r="J17" s="3"/>
      <c r="K17" s="3"/>
      <c r="L17" s="4"/>
      <c r="M17" s="4"/>
      <c r="N17" s="4"/>
      <c r="O17" s="4"/>
      <c r="P17" s="4"/>
      <c r="Q17" s="4"/>
    </row>
    <row x14ac:dyDescent="0.25" r="18" customHeight="1" ht="18.75">
      <c r="A18" s="1"/>
      <c r="B18" s="2" t="s">
        <v>31</v>
      </c>
      <c r="C18" s="2"/>
      <c r="D18" s="2"/>
      <c r="E18" s="2"/>
      <c r="F18" s="3"/>
      <c r="G18" s="1"/>
      <c r="H18" s="3"/>
      <c r="I18" s="3"/>
      <c r="J18" s="3"/>
      <c r="K18" s="3"/>
      <c r="L18" s="4"/>
      <c r="M18" s="4"/>
      <c r="N18" s="4"/>
      <c r="O18" s="4"/>
      <c r="P18" s="4"/>
      <c r="Q18" s="4"/>
    </row>
    <row x14ac:dyDescent="0.25" r="19" customHeight="1" ht="18.75">
      <c r="A19" s="1"/>
      <c r="B19" s="2" t="s">
        <v>4</v>
      </c>
      <c r="C19" s="2" t="s">
        <v>26</v>
      </c>
      <c r="D19" s="2" t="s">
        <v>32</v>
      </c>
      <c r="E19" s="2" t="s">
        <v>33</v>
      </c>
      <c r="F19" s="5" t="s">
        <v>12</v>
      </c>
      <c r="G19" s="1"/>
      <c r="H19" s="3"/>
      <c r="I19" s="3"/>
      <c r="J19" s="3"/>
      <c r="K19" s="3"/>
      <c r="L19" s="4"/>
      <c r="M19" s="4"/>
      <c r="N19" s="4"/>
      <c r="O19" s="4"/>
      <c r="P19" s="4"/>
      <c r="Q19" s="4"/>
    </row>
    <row x14ac:dyDescent="0.25" r="20" customHeight="1" ht="18.75">
      <c r="A20" s="1"/>
      <c r="B20" s="2" t="s">
        <v>21</v>
      </c>
      <c r="C20" s="9">
        <v>1000</v>
      </c>
      <c r="D20" s="8">
        <v>100</v>
      </c>
      <c r="E20" s="12">
        <f>D20/C20</f>
      </c>
      <c r="F20" s="13">
        <f>C20/D20</f>
      </c>
      <c r="G20" s="1"/>
      <c r="H20" s="3"/>
      <c r="I20" s="3"/>
      <c r="J20" s="3"/>
      <c r="K20" s="3"/>
      <c r="L20" s="4"/>
      <c r="M20" s="4"/>
      <c r="N20" s="4"/>
      <c r="O20" s="4"/>
      <c r="P20" s="4"/>
      <c r="Q20" s="4"/>
    </row>
    <row x14ac:dyDescent="0.25" r="21" customHeight="1" ht="18.75">
      <c r="A21" s="1"/>
      <c r="B21" s="2" t="s">
        <v>24</v>
      </c>
      <c r="C21" s="9">
        <v>1000</v>
      </c>
      <c r="D21" s="8">
        <v>25</v>
      </c>
      <c r="E21" s="12">
        <f>D21/C21</f>
      </c>
      <c r="F21" s="13">
        <f>C21/D21</f>
      </c>
      <c r="G21" s="1"/>
      <c r="H21" s="3"/>
      <c r="I21" s="3"/>
      <c r="J21" s="3"/>
      <c r="K21" s="3"/>
      <c r="L21" s="4"/>
      <c r="M21" s="4"/>
      <c r="N21" s="4"/>
      <c r="O21" s="4"/>
      <c r="P21" s="4"/>
      <c r="Q21" s="4"/>
    </row>
    <row x14ac:dyDescent="0.25" r="22" customHeight="1" ht="18.75">
      <c r="A22" s="1"/>
      <c r="B22" s="2" t="s">
        <v>34</v>
      </c>
      <c r="C22" s="9">
        <v>1000</v>
      </c>
      <c r="D22" s="8">
        <v>100</v>
      </c>
      <c r="E22" s="12">
        <f>D22/C22</f>
      </c>
      <c r="F22" s="13">
        <f>C22/D22</f>
      </c>
      <c r="G22" s="1"/>
      <c r="H22" s="3"/>
      <c r="I22" s="3"/>
      <c r="J22" s="3"/>
      <c r="K22" s="3"/>
      <c r="L22" s="4"/>
      <c r="M22" s="4"/>
      <c r="N22" s="4"/>
      <c r="O22" s="4"/>
      <c r="P22" s="4"/>
      <c r="Q22" s="4"/>
    </row>
    <row x14ac:dyDescent="0.25" r="23" customHeight="1" ht="18.75">
      <c r="A23" s="1"/>
      <c r="B23" s="2" t="s">
        <v>35</v>
      </c>
      <c r="C23" s="9">
        <v>1000</v>
      </c>
      <c r="D23" s="8">
        <v>100</v>
      </c>
      <c r="E23" s="12">
        <f>D23/C23</f>
      </c>
      <c r="F23" s="13">
        <f>C23/D23</f>
      </c>
      <c r="G23" s="1"/>
      <c r="H23" s="3"/>
      <c r="I23" s="3"/>
      <c r="J23" s="3"/>
      <c r="K23" s="3"/>
      <c r="L23" s="4"/>
      <c r="M23" s="4"/>
      <c r="N23" s="4"/>
      <c r="O23" s="4"/>
      <c r="P23" s="4"/>
      <c r="Q23" s="4"/>
    </row>
    <row x14ac:dyDescent="0.25" r="24" customHeight="1" ht="18.75">
      <c r="A24" s="1"/>
      <c r="B24" s="2"/>
      <c r="C24" s="2"/>
      <c r="D24" s="2"/>
      <c r="E24" s="2"/>
      <c r="F24" s="3"/>
      <c r="G24" s="1"/>
      <c r="H24" s="3"/>
      <c r="I24" s="3"/>
      <c r="J24" s="3"/>
      <c r="K24" s="3"/>
      <c r="L24" s="4"/>
      <c r="M24" s="4"/>
      <c r="N24" s="4"/>
      <c r="O24" s="4"/>
      <c r="P24" s="4"/>
      <c r="Q24" s="4"/>
    </row>
    <row x14ac:dyDescent="0.25" r="25" customHeight="1" ht="18.75">
      <c r="A25" s="1"/>
      <c r="B25" s="2"/>
      <c r="C25" s="2"/>
      <c r="D25" s="2"/>
      <c r="E25" s="2"/>
      <c r="F25" s="3"/>
      <c r="G25" s="1"/>
      <c r="H25" s="3"/>
      <c r="I25" s="3"/>
      <c r="J25" s="3"/>
      <c r="K25" s="3"/>
      <c r="L25" s="4"/>
      <c r="M25" s="4"/>
      <c r="N25" s="4"/>
      <c r="O25" s="4"/>
      <c r="P25" s="4"/>
      <c r="Q25" s="4"/>
    </row>
    <row x14ac:dyDescent="0.25" r="26" customHeight="1" ht="18.75">
      <c r="A26" s="1"/>
      <c r="B26" s="2" t="s">
        <v>36</v>
      </c>
      <c r="C26" s="2"/>
      <c r="D26" s="2"/>
      <c r="E26" s="2"/>
      <c r="F26" s="3"/>
      <c r="G26" s="1"/>
      <c r="H26" s="3"/>
      <c r="I26" s="3"/>
      <c r="J26" s="3"/>
      <c r="K26" s="3"/>
      <c r="L26" s="4"/>
      <c r="M26" s="4"/>
      <c r="N26" s="4"/>
      <c r="O26" s="4"/>
      <c r="P26" s="4"/>
      <c r="Q26" s="4"/>
    </row>
    <row x14ac:dyDescent="0.25" r="27" customHeight="1" ht="18.75">
      <c r="A27" s="1"/>
      <c r="B27" s="2" t="s">
        <v>37</v>
      </c>
      <c r="C27" s="2" t="s">
        <v>38</v>
      </c>
      <c r="D27" s="2" t="s">
        <v>39</v>
      </c>
      <c r="E27" s="2" t="s">
        <v>40</v>
      </c>
      <c r="F27" s="3" t="s">
        <v>41</v>
      </c>
      <c r="G27" s="1"/>
      <c r="H27" s="3"/>
      <c r="I27" s="3"/>
      <c r="J27" s="3"/>
      <c r="K27" s="3"/>
      <c r="L27" s="4"/>
      <c r="M27" s="4"/>
      <c r="N27" s="4"/>
      <c r="O27" s="4"/>
      <c r="P27" s="4"/>
      <c r="Q27" s="4"/>
    </row>
    <row x14ac:dyDescent="0.25" r="28" customHeight="1" ht="18.75">
      <c r="A28" s="1"/>
      <c r="B28" s="9">
        <v>3000</v>
      </c>
      <c r="C28" s="9">
        <v>2</v>
      </c>
      <c r="D28" s="9">
        <v>4</v>
      </c>
      <c r="E28" s="9">
        <v>100000</v>
      </c>
      <c r="F28" s="3" t="s">
        <v>42</v>
      </c>
      <c r="G28" s="1"/>
      <c r="H28" s="3"/>
      <c r="I28" s="3"/>
      <c r="J28" s="3"/>
      <c r="K28" s="3"/>
      <c r="L28" s="4"/>
      <c r="M28" s="4"/>
      <c r="N28" s="4"/>
      <c r="O28" s="4"/>
      <c r="P28" s="4"/>
      <c r="Q28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cpu_over</vt:lpstr>
      <vt:lpstr>net_over</vt:lpstr>
      <vt:lpstr>no_over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2024-11-24T22:25:29.806Z</dcterms:created>
  <dcterms:modified xsi:type="dcterms:W3CDTF">2024-11-24T22:25:29.806Z</dcterms:modified>
</cp:coreProperties>
</file>